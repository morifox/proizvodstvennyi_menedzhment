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рта потока" sheetId="1" state="visible" r:id="rId3"/>
    <sheet name="Ямазуми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<sst xmlns="http://schemas.openxmlformats.org/spreadsheetml/2006/main" count="158" uniqueCount="106">
  <si>
    <t xml:space="preserve">Номер</t>
  </si>
  <si>
    <t xml:space="preserve">Операция</t>
  </si>
  <si>
    <t xml:space="preserve">Описание процесса</t>
  </si>
  <si>
    <t xml:space="preserve">Время, с</t>
  </si>
  <si>
    <t xml:space="preserve">Характеристика времени</t>
  </si>
  <si>
    <t xml:space="preserve">1_1</t>
  </si>
  <si>
    <t xml:space="preserve">Разогреть пресс-машину</t>
  </si>
  <si>
    <t xml:space="preserve">Потери</t>
  </si>
  <si>
    <t xml:space="preserve">1_2</t>
  </si>
  <si>
    <t xml:space="preserve">Очистить приспособление для запрессовки</t>
  </si>
  <si>
    <t xml:space="preserve">Не добавляет ценность</t>
  </si>
  <si>
    <t xml:space="preserve">1_3</t>
  </si>
  <si>
    <t xml:space="preserve">Установка деталей для запрессовки</t>
  </si>
  <si>
    <t xml:space="preserve">1_4</t>
  </si>
  <si>
    <t xml:space="preserve">Совместить гайки</t>
  </si>
  <si>
    <t xml:space="preserve">1_5</t>
  </si>
  <si>
    <t xml:space="preserve">Выровнять шпильки</t>
  </si>
  <si>
    <t xml:space="preserve">1_6</t>
  </si>
  <si>
    <t xml:space="preserve">Загрузить пластину</t>
  </si>
  <si>
    <t xml:space="preserve">Добавляет ценность</t>
  </si>
  <si>
    <t xml:space="preserve">2_1</t>
  </si>
  <si>
    <t xml:space="preserve">Опустить пресс</t>
  </si>
  <si>
    <t xml:space="preserve">2_2</t>
  </si>
  <si>
    <t xml:space="preserve">Поднять пресс</t>
  </si>
  <si>
    <t xml:space="preserve">2_3</t>
  </si>
  <si>
    <t xml:space="preserve">Извлечь две спрессованные детали</t>
  </si>
  <si>
    <t xml:space="preserve">2_4</t>
  </si>
  <si>
    <t xml:space="preserve">3_1</t>
  </si>
  <si>
    <t xml:space="preserve">Отшлифовать верх крышки</t>
  </si>
  <si>
    <t xml:space="preserve">3_2</t>
  </si>
  <si>
    <t xml:space="preserve">Отшлифовать низ крышки</t>
  </si>
  <si>
    <t xml:space="preserve">3_3</t>
  </si>
  <si>
    <t xml:space="preserve">Взять следующую деталь</t>
  </si>
  <si>
    <t xml:space="preserve">3_4</t>
  </si>
  <si>
    <t xml:space="preserve">3_5</t>
  </si>
  <si>
    <t xml:space="preserve">3_6</t>
  </si>
  <si>
    <t xml:space="preserve">3_7</t>
  </si>
  <si>
    <t xml:space="preserve">3_8</t>
  </si>
  <si>
    <t xml:space="preserve">3_9</t>
  </si>
  <si>
    <t xml:space="preserve">Накрыть и взять следующую деталь</t>
  </si>
  <si>
    <t xml:space="preserve">4_1</t>
  </si>
  <si>
    <t xml:space="preserve">Пополнить запас материала</t>
  </si>
  <si>
    <t xml:space="preserve">4_2</t>
  </si>
  <si>
    <t xml:space="preserve">Взять 4 винта</t>
  </si>
  <si>
    <t xml:space="preserve">4_3</t>
  </si>
  <si>
    <t xml:space="preserve">Установить и закрутить винты</t>
  </si>
  <si>
    <t xml:space="preserve">4_4</t>
  </si>
  <si>
    <t xml:space="preserve">Взять кожух</t>
  </si>
  <si>
    <t xml:space="preserve">4_5</t>
  </si>
  <si>
    <t xml:space="preserve">Установить и закрепить колесо</t>
  </si>
  <si>
    <t xml:space="preserve">4_6</t>
  </si>
  <si>
    <t xml:space="preserve">Установить и закрепить следующее колесо</t>
  </si>
  <si>
    <t xml:space="preserve">5_1</t>
  </si>
  <si>
    <t xml:space="preserve">Сложить детали в стопку</t>
  </si>
  <si>
    <t xml:space="preserve">5_2</t>
  </si>
  <si>
    <t xml:space="preserve">Наклеить первую маркировку (ярлык)</t>
  </si>
  <si>
    <t xml:space="preserve">5_3</t>
  </si>
  <si>
    <t xml:space="preserve">Наклеить вторую маркировку (ярлык)</t>
  </si>
  <si>
    <t xml:space="preserve">5_4</t>
  </si>
  <si>
    <t xml:space="preserve">Наклеить третью маркировку (ярлык)</t>
  </si>
  <si>
    <t xml:space="preserve">5_5</t>
  </si>
  <si>
    <t xml:space="preserve">Прикрепить ремень</t>
  </si>
  <si>
    <t xml:space="preserve">5_6</t>
  </si>
  <si>
    <t xml:space="preserve">Установить кронштейн</t>
  </si>
  <si>
    <t xml:space="preserve">5_7</t>
  </si>
  <si>
    <t xml:space="preserve">Закрепить кронштейн</t>
  </si>
  <si>
    <t xml:space="preserve">6_1</t>
  </si>
  <si>
    <t xml:space="preserve">Проверить сборку первого вала</t>
  </si>
  <si>
    <t xml:space="preserve">6_2</t>
  </si>
  <si>
    <t xml:space="preserve">Проверить сборку второго вала</t>
  </si>
  <si>
    <t xml:space="preserve">6_3</t>
  </si>
  <si>
    <t xml:space="preserve">Взять редуктор и собрать</t>
  </si>
  <si>
    <t xml:space="preserve">6_4</t>
  </si>
  <si>
    <t xml:space="preserve">Взять арматуру и закрепить</t>
  </si>
  <si>
    <t xml:space="preserve">6_5</t>
  </si>
  <si>
    <t xml:space="preserve">Установить прокладку</t>
  </si>
  <si>
    <t xml:space="preserve">6_6</t>
  </si>
  <si>
    <t xml:space="preserve">Взять вторую арматуру и закрепить</t>
  </si>
  <si>
    <t xml:space="preserve">7_1</t>
  </si>
  <si>
    <t xml:space="preserve">Проверить сборку и накрыть детали</t>
  </si>
  <si>
    <t xml:space="preserve">7_2</t>
  </si>
  <si>
    <t xml:space="preserve">Собрать подсборку вала</t>
  </si>
  <si>
    <t xml:space="preserve">7_3</t>
  </si>
  <si>
    <t xml:space="preserve">Собрать переключающее устройство</t>
  </si>
  <si>
    <t xml:space="preserve">7_4</t>
  </si>
  <si>
    <t xml:space="preserve">Завернуть в защитную пленку</t>
  </si>
  <si>
    <t xml:space="preserve">Время такта, с</t>
  </si>
  <si>
    <t xml:space="preserve">Название</t>
  </si>
  <si>
    <t xml:space="preserve">Итого, с</t>
  </si>
  <si>
    <t xml:space="preserve">Такт, с</t>
  </si>
  <si>
    <t xml:space="preserve">Отклонение от такта, с</t>
  </si>
  <si>
    <t xml:space="preserve">Оп. 1</t>
  </si>
  <si>
    <t xml:space="preserve">Установка деталей</t>
  </si>
  <si>
    <t xml:space="preserve">Оп. 2</t>
  </si>
  <si>
    <t xml:space="preserve">Изготовление деталей</t>
  </si>
  <si>
    <t xml:space="preserve">Оп. 3</t>
  </si>
  <si>
    <t xml:space="preserve">Шлифовка трёх деталей</t>
  </si>
  <si>
    <t xml:space="preserve">Оп. 4</t>
  </si>
  <si>
    <t xml:space="preserve">Установка колес</t>
  </si>
  <si>
    <t xml:space="preserve">Оп. 5</t>
  </si>
  <si>
    <t xml:space="preserve">Закрепление кронштейна</t>
  </si>
  <si>
    <t xml:space="preserve">Оп. 6</t>
  </si>
  <si>
    <t xml:space="preserve">Сборка редуктора</t>
  </si>
  <si>
    <t xml:space="preserve">Оп. 7</t>
  </si>
  <si>
    <t xml:space="preserve">Сборка вала</t>
  </si>
  <si>
    <t xml:space="preserve">Операция 6, доля по видам работ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</si>
</sst>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color rgb="FF0000FF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34948"/>
      <rgbColor rgb="FF666699"/>
      <rgbColor rgb="FF9E9D9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Диаграмма Ямазуми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Ямазуми!C3</c:f>
              <c:strCache>
                <c:ptCount val="1"/>
                <c:pt idx="0">
                  <c:v>Добавляет ценность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Ямазуми!$A$4:$A$10</c:f>
              <c:strCache>
                <c:ptCount val="7"/>
                <c:pt idx="0">
                  <c:v>Оп. 1</c:v>
                </c:pt>
                <c:pt idx="1">
                  <c:v>Оп. 2</c:v>
                </c:pt>
                <c:pt idx="2">
                  <c:v>Оп. 3</c:v>
                </c:pt>
                <c:pt idx="3">
                  <c:v>Оп. 4</c:v>
                </c:pt>
                <c:pt idx="4">
                  <c:v>Оп. 5</c:v>
                </c:pt>
                <c:pt idx="5">
                  <c:v>Оп. 6</c:v>
                </c:pt>
                <c:pt idx="6">
                  <c:v>Оп. 7</c:v>
                </c:pt>
              </c:strCache>
            </c:strRef>
          </c:cat>
          <c:val>
            <c:numRef>
              <c:f>Ямазуми!$C$4:$C$10</c:f>
              <c:numCache>
                <c:formatCode>General</c:formatCode>
                <c:ptCount val="7"/>
                <c:pt idx="0">
                  <c:v>10</c:v>
                </c:pt>
                <c:pt idx="1">
                  <c:v>6</c:v>
                </c:pt>
                <c:pt idx="2">
                  <c:v>54</c:v>
                </c:pt>
                <c:pt idx="3">
                  <c:v>23</c:v>
                </c:pt>
                <c:pt idx="4">
                  <c:v>41</c:v>
                </c:pt>
                <c:pt idx="5">
                  <c:v>22</c:v>
                </c:pt>
                <c:pt idx="6">
                  <c:v>18</c:v>
                </c:pt>
              </c:numCache>
            </c:numRef>
          </c:val>
        </c:ser>
        <c:ser>
          <c:idx val="1"/>
          <c:order val="1"/>
          <c:tx>
            <c:strRef>
              <c:f>Ямазуми!D3</c:f>
              <c:strCache>
                <c:ptCount val="1"/>
                <c:pt idx="0">
                  <c:v>Не добавляет ценность</c:v>
                </c:pt>
              </c:strCache>
            </c:strRef>
          </c:tx>
          <c:spPr>
            <a:solidFill>
              <a:srgbClr val="9e9d97"/>
            </a:solidFill>
            <a:ln w="0">
              <a:solidFill>
                <a:srgbClr val="9e9d9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Ямазуми!$A$4:$A$10</c:f>
              <c:strCache>
                <c:ptCount val="7"/>
                <c:pt idx="0">
                  <c:v>Оп. 1</c:v>
                </c:pt>
                <c:pt idx="1">
                  <c:v>Оп. 2</c:v>
                </c:pt>
                <c:pt idx="2">
                  <c:v>Оп. 3</c:v>
                </c:pt>
                <c:pt idx="3">
                  <c:v>Оп. 4</c:v>
                </c:pt>
                <c:pt idx="4">
                  <c:v>Оп. 5</c:v>
                </c:pt>
                <c:pt idx="5">
                  <c:v>Оп. 6</c:v>
                </c:pt>
                <c:pt idx="6">
                  <c:v>Оп. 7</c:v>
                </c:pt>
              </c:strCache>
            </c:strRef>
          </c:cat>
          <c:val>
            <c:numRef>
              <c:f>Ямазуми!$D$4:$D$10</c:f>
              <c:numCache>
                <c:formatCode>General</c:formatCode>
                <c:ptCount val="7"/>
                <c:pt idx="0">
                  <c:v>33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Ямазуми!E3</c:f>
              <c:strCache>
                <c:ptCount val="1"/>
                <c:pt idx="0">
                  <c:v>Потери</c:v>
                </c:pt>
              </c:strCache>
            </c:strRef>
          </c:tx>
          <c:spPr>
            <a:solidFill>
              <a:srgbClr val="e34948"/>
            </a:solidFill>
            <a:ln w="0">
              <a:solidFill>
                <a:srgbClr val="e3494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Ямазуми!$A$4:$A$10</c:f>
              <c:strCache>
                <c:ptCount val="7"/>
                <c:pt idx="0">
                  <c:v>Оп. 1</c:v>
                </c:pt>
                <c:pt idx="1">
                  <c:v>Оп. 2</c:v>
                </c:pt>
                <c:pt idx="2">
                  <c:v>Оп. 3</c:v>
                </c:pt>
                <c:pt idx="3">
                  <c:v>Оп. 4</c:v>
                </c:pt>
                <c:pt idx="4">
                  <c:v>Оп. 5</c:v>
                </c:pt>
                <c:pt idx="5">
                  <c:v>Оп. 6</c:v>
                </c:pt>
                <c:pt idx="6">
                  <c:v>Оп. 7</c:v>
                </c:pt>
              </c:strCache>
            </c:strRef>
          </c:cat>
          <c:val>
            <c:numRef>
              <c:f>Ямазуми!$E$4:$E$10</c:f>
              <c:numCache>
                <c:formatCode>General</c:formatCode>
                <c:ptCount val="7"/>
                <c:pt idx="0">
                  <c:v>5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15</c:v>
                </c:pt>
                <c:pt idx="6">
                  <c:v>5</c:v>
                </c:pt>
              </c:numCache>
            </c:numRef>
          </c:val>
        </c:ser>
        <c:gapWidth val="150"/>
        <c:overlap val="100"/>
        <c:axId val="472838"/>
        <c:axId val="77553189"/>
      </c:barChart>
      <c:lineChart>
        <c:grouping val="stacked"/>
        <c:varyColors val="0"/>
        <c:ser>
          <c:idx val="3"/>
          <c:order val="3"/>
          <c:tx>
            <c:strRef>
              <c:f>Ямазуми!G3</c:f>
              <c:strCache>
                <c:ptCount val="1"/>
                <c:pt idx="0">
                  <c:v>Такт, с</c:v>
                </c:pt>
              </c:strCache>
            </c:strRef>
          </c:tx>
          <c:spPr>
            <a:solidFill>
              <a:srgbClr val="000000"/>
            </a:solidFill>
            <a:ln w="2808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Ямазуми!$A$4:$A$10</c:f>
              <c:strCache>
                <c:ptCount val="7"/>
                <c:pt idx="0">
                  <c:v>Оп. 1</c:v>
                </c:pt>
                <c:pt idx="1">
                  <c:v>Оп. 2</c:v>
                </c:pt>
                <c:pt idx="2">
                  <c:v>Оп. 3</c:v>
                </c:pt>
                <c:pt idx="3">
                  <c:v>Оп. 4</c:v>
                </c:pt>
                <c:pt idx="4">
                  <c:v>Оп. 5</c:v>
                </c:pt>
                <c:pt idx="5">
                  <c:v>Оп. 6</c:v>
                </c:pt>
                <c:pt idx="6">
                  <c:v>Оп. 7</c:v>
                </c:pt>
              </c:strCache>
            </c:strRef>
          </c:cat>
          <c:val>
            <c:numRef>
              <c:f>Ямазуми!$G$4:$G$10</c:f>
              <c:numCache>
                <c:formatCode>General</c:formatCode>
                <c:ptCount val="7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2838"/>
        <c:axId val="77553189"/>
      </c:lineChart>
      <c:catAx>
        <c:axId val="4728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Операции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53189"/>
        <c:crosses val="autoZero"/>
        <c:auto val="1"/>
        <c:lblAlgn val="ctr"/>
        <c:lblOffset val="100"/>
        <c:noMultiLvlLbl val="0"/>
      </c:catAx>
      <c:valAx>
        <c:axId val="77553189"/>
        <c:scaling>
          <c:orientation val="minMax"/>
          <c:max val="8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Время, 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8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20</xdr:col>
      <xdr:colOff>473040</xdr:colOff>
      <xdr:row>18</xdr:row>
      <xdr:rowOff>170640</xdr:rowOff>
    </xdr:to>
    <xdr:graphicFrame>
      <xdr:nvGraphicFramePr>
        <xdr:cNvPr id="0" name="Chart 1"/>
        <xdr:cNvGraphicFramePr/>
      </xdr:nvGraphicFramePr>
      <xdr:xfrm>
        <a:off x="8294400" y="380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25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n">
        <v>1</v>
      </c>
      <c r="C2" s="2" t="s">
        <v>6</v>
      </c>
      <c r="D2" s="2" t="n">
        <v>5</v>
      </c>
      <c r="E2" s="2" t="s">
        <v>7</v>
      </c>
    </row>
    <row r="3" customFormat="false" ht="15" hidden="false" customHeight="false" outlineLevel="0" collapsed="false">
      <c r="A3" s="2" t="s">
        <v>8</v>
      </c>
      <c r="B3" s="2" t="n">
        <v>1</v>
      </c>
      <c r="C3" s="2" t="s">
        <v>9</v>
      </c>
      <c r="D3" s="2" t="n">
        <v>10</v>
      </c>
      <c r="E3" s="2" t="s">
        <v>10</v>
      </c>
    </row>
    <row r="4" customFormat="false" ht="15" hidden="false" customHeight="false" outlineLevel="0" collapsed="false">
      <c r="A4" s="2" t="s">
        <v>11</v>
      </c>
      <c r="B4" s="2" t="n">
        <v>1</v>
      </c>
      <c r="C4" s="2" t="s">
        <v>12</v>
      </c>
      <c r="D4" s="2" t="n">
        <v>5</v>
      </c>
      <c r="E4" s="2" t="s">
        <v>10</v>
      </c>
    </row>
    <row r="5" customFormat="false" ht="15" hidden="false" customHeight="false" outlineLevel="0" collapsed="false">
      <c r="A5" s="2" t="s">
        <v>13</v>
      </c>
      <c r="B5" s="2" t="n">
        <v>1</v>
      </c>
      <c r="C5" s="2" t="s">
        <v>14</v>
      </c>
      <c r="D5" s="2" t="n">
        <v>9</v>
      </c>
      <c r="E5" s="2" t="s">
        <v>10</v>
      </c>
    </row>
    <row r="6" customFormat="false" ht="15" hidden="false" customHeight="false" outlineLevel="0" collapsed="false">
      <c r="A6" s="2" t="s">
        <v>15</v>
      </c>
      <c r="B6" s="2" t="n">
        <v>1</v>
      </c>
      <c r="C6" s="2" t="s">
        <v>16</v>
      </c>
      <c r="D6" s="2" t="n">
        <v>9</v>
      </c>
      <c r="E6" s="2" t="s">
        <v>10</v>
      </c>
    </row>
    <row r="7" customFormat="false" ht="15" hidden="false" customHeight="false" outlineLevel="0" collapsed="false">
      <c r="A7" s="2" t="s">
        <v>17</v>
      </c>
      <c r="B7" s="2" t="n">
        <v>1</v>
      </c>
      <c r="C7" s="2" t="s">
        <v>18</v>
      </c>
      <c r="D7" s="2" t="n">
        <v>10</v>
      </c>
      <c r="E7" s="2" t="s">
        <v>19</v>
      </c>
    </row>
    <row r="8" customFormat="false" ht="15" hidden="false" customHeight="false" outlineLevel="0" collapsed="false">
      <c r="A8" s="2" t="s">
        <v>20</v>
      </c>
      <c r="B8" s="2" t="n">
        <v>2</v>
      </c>
      <c r="C8" s="2" t="s">
        <v>21</v>
      </c>
      <c r="D8" s="2" t="n">
        <v>6</v>
      </c>
      <c r="E8" s="2" t="s">
        <v>19</v>
      </c>
    </row>
    <row r="9" customFormat="false" ht="15" hidden="false" customHeight="false" outlineLevel="0" collapsed="false">
      <c r="A9" s="2" t="s">
        <v>22</v>
      </c>
      <c r="B9" s="2" t="n">
        <v>2</v>
      </c>
      <c r="C9" s="2" t="s">
        <v>23</v>
      </c>
      <c r="D9" s="2" t="n">
        <v>9</v>
      </c>
      <c r="E9" s="2" t="s">
        <v>10</v>
      </c>
    </row>
    <row r="10" customFormat="false" ht="15" hidden="false" customHeight="false" outlineLevel="0" collapsed="false">
      <c r="A10" s="2" t="s">
        <v>24</v>
      </c>
      <c r="B10" s="2" t="n">
        <v>2</v>
      </c>
      <c r="C10" s="2" t="s">
        <v>25</v>
      </c>
      <c r="D10" s="2" t="n">
        <v>10</v>
      </c>
      <c r="E10" s="2" t="s">
        <v>10</v>
      </c>
    </row>
    <row r="11" customFormat="false" ht="15" hidden="false" customHeight="false" outlineLevel="0" collapsed="false">
      <c r="A11" s="2" t="s">
        <v>26</v>
      </c>
      <c r="B11" s="2" t="n">
        <v>2</v>
      </c>
      <c r="C11" s="2" t="s">
        <v>9</v>
      </c>
      <c r="D11" s="2" t="n">
        <v>7</v>
      </c>
      <c r="E11" s="2" t="s">
        <v>7</v>
      </c>
    </row>
    <row r="12" customFormat="false" ht="15" hidden="false" customHeight="false" outlineLevel="0" collapsed="false">
      <c r="A12" s="2" t="s">
        <v>27</v>
      </c>
      <c r="B12" s="2" t="n">
        <v>3</v>
      </c>
      <c r="C12" s="2" t="s">
        <v>28</v>
      </c>
      <c r="D12" s="2" t="n">
        <v>9</v>
      </c>
      <c r="E12" s="2" t="s">
        <v>19</v>
      </c>
    </row>
    <row r="13" customFormat="false" ht="15" hidden="false" customHeight="false" outlineLevel="0" collapsed="false">
      <c r="A13" s="2" t="s">
        <v>29</v>
      </c>
      <c r="B13" s="2" t="n">
        <v>3</v>
      </c>
      <c r="C13" s="2" t="s">
        <v>30</v>
      </c>
      <c r="D13" s="2" t="n">
        <v>9</v>
      </c>
      <c r="E13" s="2" t="s">
        <v>19</v>
      </c>
    </row>
    <row r="14" customFormat="false" ht="15" hidden="false" customHeight="false" outlineLevel="0" collapsed="false">
      <c r="A14" s="2" t="s">
        <v>31</v>
      </c>
      <c r="B14" s="2" t="n">
        <v>3</v>
      </c>
      <c r="C14" s="2" t="s">
        <v>32</v>
      </c>
      <c r="D14" s="2" t="n">
        <v>6</v>
      </c>
      <c r="E14" s="2" t="s">
        <v>10</v>
      </c>
    </row>
    <row r="15" customFormat="false" ht="15" hidden="false" customHeight="false" outlineLevel="0" collapsed="false">
      <c r="A15" s="2" t="s">
        <v>33</v>
      </c>
      <c r="B15" s="2" t="n">
        <v>3</v>
      </c>
      <c r="C15" s="2" t="s">
        <v>28</v>
      </c>
      <c r="D15" s="2" t="n">
        <v>9</v>
      </c>
      <c r="E15" s="2" t="s">
        <v>19</v>
      </c>
    </row>
    <row r="16" customFormat="false" ht="15" hidden="false" customHeight="false" outlineLevel="0" collapsed="false">
      <c r="A16" s="2" t="s">
        <v>34</v>
      </c>
      <c r="B16" s="2" t="n">
        <v>3</v>
      </c>
      <c r="C16" s="2" t="s">
        <v>30</v>
      </c>
      <c r="D16" s="2" t="n">
        <v>9</v>
      </c>
      <c r="E16" s="2" t="s">
        <v>19</v>
      </c>
    </row>
    <row r="17" customFormat="false" ht="15" hidden="false" customHeight="false" outlineLevel="0" collapsed="false">
      <c r="A17" s="2" t="s">
        <v>35</v>
      </c>
      <c r="B17" s="2" t="n">
        <v>3</v>
      </c>
      <c r="C17" s="2" t="s">
        <v>32</v>
      </c>
      <c r="D17" s="2" t="n">
        <v>6</v>
      </c>
      <c r="E17" s="2" t="s">
        <v>10</v>
      </c>
    </row>
    <row r="18" customFormat="false" ht="15" hidden="false" customHeight="false" outlineLevel="0" collapsed="false">
      <c r="A18" s="2" t="s">
        <v>36</v>
      </c>
      <c r="B18" s="2" t="n">
        <v>3</v>
      </c>
      <c r="C18" s="2" t="s">
        <v>28</v>
      </c>
      <c r="D18" s="2" t="n">
        <v>9</v>
      </c>
      <c r="E18" s="2" t="s">
        <v>19</v>
      </c>
    </row>
    <row r="19" customFormat="false" ht="15" hidden="false" customHeight="false" outlineLevel="0" collapsed="false">
      <c r="A19" s="2" t="s">
        <v>37</v>
      </c>
      <c r="B19" s="2" t="n">
        <v>3</v>
      </c>
      <c r="C19" s="2" t="s">
        <v>30</v>
      </c>
      <c r="D19" s="2" t="n">
        <v>9</v>
      </c>
      <c r="E19" s="2" t="s">
        <v>19</v>
      </c>
    </row>
    <row r="20" customFormat="false" ht="15" hidden="false" customHeight="false" outlineLevel="0" collapsed="false">
      <c r="A20" s="2" t="s">
        <v>38</v>
      </c>
      <c r="B20" s="2" t="n">
        <v>3</v>
      </c>
      <c r="C20" s="2" t="s">
        <v>39</v>
      </c>
      <c r="D20" s="2" t="n">
        <v>8</v>
      </c>
      <c r="E20" s="2" t="s">
        <v>10</v>
      </c>
    </row>
    <row r="21" customFormat="false" ht="15" hidden="false" customHeight="false" outlineLevel="0" collapsed="false">
      <c r="A21" s="2" t="s">
        <v>40</v>
      </c>
      <c r="B21" s="2" t="n">
        <v>4</v>
      </c>
      <c r="C21" s="2" t="s">
        <v>41</v>
      </c>
      <c r="D21" s="2" t="n">
        <v>10</v>
      </c>
      <c r="E21" s="2" t="s">
        <v>10</v>
      </c>
    </row>
    <row r="22" customFormat="false" ht="15" hidden="false" customHeight="false" outlineLevel="0" collapsed="false">
      <c r="A22" s="2" t="s">
        <v>42</v>
      </c>
      <c r="B22" s="2" t="n">
        <v>4</v>
      </c>
      <c r="C22" s="2" t="s">
        <v>43</v>
      </c>
      <c r="D22" s="2" t="n">
        <v>5</v>
      </c>
      <c r="E22" s="2" t="s">
        <v>10</v>
      </c>
    </row>
    <row r="23" customFormat="false" ht="15" hidden="false" customHeight="false" outlineLevel="0" collapsed="false">
      <c r="A23" s="2" t="s">
        <v>44</v>
      </c>
      <c r="B23" s="2" t="n">
        <v>4</v>
      </c>
      <c r="C23" s="2" t="s">
        <v>45</v>
      </c>
      <c r="D23" s="2" t="n">
        <v>7</v>
      </c>
      <c r="E23" s="2" t="s">
        <v>19</v>
      </c>
    </row>
    <row r="24" customFormat="false" ht="15" hidden="false" customHeight="false" outlineLevel="0" collapsed="false">
      <c r="A24" s="2" t="s">
        <v>46</v>
      </c>
      <c r="B24" s="2" t="n">
        <v>4</v>
      </c>
      <c r="C24" s="2" t="s">
        <v>47</v>
      </c>
      <c r="D24" s="2" t="n">
        <v>6</v>
      </c>
      <c r="E24" s="2" t="s">
        <v>10</v>
      </c>
    </row>
    <row r="25" customFormat="false" ht="15" hidden="false" customHeight="false" outlineLevel="0" collapsed="false">
      <c r="A25" s="2" t="s">
        <v>48</v>
      </c>
      <c r="B25" s="2" t="n">
        <v>4</v>
      </c>
      <c r="C25" s="2" t="s">
        <v>49</v>
      </c>
      <c r="D25" s="2" t="n">
        <v>8</v>
      </c>
      <c r="E25" s="2" t="s">
        <v>19</v>
      </c>
    </row>
    <row r="26" customFormat="false" ht="15" hidden="false" customHeight="false" outlineLevel="0" collapsed="false">
      <c r="A26" s="2" t="s">
        <v>50</v>
      </c>
      <c r="B26" s="2" t="n">
        <v>4</v>
      </c>
      <c r="C26" s="2" t="s">
        <v>51</v>
      </c>
      <c r="D26" s="2" t="n">
        <v>8</v>
      </c>
      <c r="E26" s="2" t="s">
        <v>19</v>
      </c>
    </row>
    <row r="27" customFormat="false" ht="15" hidden="false" customHeight="false" outlineLevel="0" collapsed="false">
      <c r="A27" s="2" t="s">
        <v>52</v>
      </c>
      <c r="B27" s="2" t="n">
        <v>5</v>
      </c>
      <c r="C27" s="2" t="s">
        <v>53</v>
      </c>
      <c r="D27" s="2" t="n">
        <v>10</v>
      </c>
      <c r="E27" s="2" t="s">
        <v>7</v>
      </c>
    </row>
    <row r="28" customFormat="false" ht="15" hidden="false" customHeight="false" outlineLevel="0" collapsed="false">
      <c r="A28" s="2" t="s">
        <v>54</v>
      </c>
      <c r="B28" s="2" t="n">
        <v>5</v>
      </c>
      <c r="C28" s="2" t="s">
        <v>55</v>
      </c>
      <c r="D28" s="2" t="n">
        <v>8</v>
      </c>
      <c r="E28" s="2" t="s">
        <v>19</v>
      </c>
    </row>
    <row r="29" customFormat="false" ht="15" hidden="false" customHeight="false" outlineLevel="0" collapsed="false">
      <c r="A29" s="2" t="s">
        <v>56</v>
      </c>
      <c r="B29" s="2" t="n">
        <v>5</v>
      </c>
      <c r="C29" s="2" t="s">
        <v>57</v>
      </c>
      <c r="D29" s="2" t="n">
        <v>6</v>
      </c>
      <c r="E29" s="2" t="s">
        <v>19</v>
      </c>
    </row>
    <row r="30" customFormat="false" ht="15" hidden="false" customHeight="false" outlineLevel="0" collapsed="false">
      <c r="A30" s="2" t="s">
        <v>58</v>
      </c>
      <c r="B30" s="2" t="n">
        <v>5</v>
      </c>
      <c r="C30" s="2" t="s">
        <v>59</v>
      </c>
      <c r="D30" s="2" t="n">
        <v>7</v>
      </c>
      <c r="E30" s="2" t="s">
        <v>19</v>
      </c>
    </row>
    <row r="31" customFormat="false" ht="15" hidden="false" customHeight="false" outlineLevel="0" collapsed="false">
      <c r="A31" s="2" t="s">
        <v>60</v>
      </c>
      <c r="B31" s="2" t="n">
        <v>5</v>
      </c>
      <c r="C31" s="2" t="s">
        <v>61</v>
      </c>
      <c r="D31" s="2" t="n">
        <v>5</v>
      </c>
      <c r="E31" s="2" t="s">
        <v>19</v>
      </c>
    </row>
    <row r="32" customFormat="false" ht="15" hidden="false" customHeight="false" outlineLevel="0" collapsed="false">
      <c r="A32" s="2" t="s">
        <v>62</v>
      </c>
      <c r="B32" s="2" t="n">
        <v>5</v>
      </c>
      <c r="C32" s="2" t="s">
        <v>63</v>
      </c>
      <c r="D32" s="2" t="n">
        <v>5</v>
      </c>
      <c r="E32" s="2" t="s">
        <v>19</v>
      </c>
    </row>
    <row r="33" customFormat="false" ht="15" hidden="false" customHeight="false" outlineLevel="0" collapsed="false">
      <c r="A33" s="2" t="s">
        <v>64</v>
      </c>
      <c r="B33" s="2" t="n">
        <v>5</v>
      </c>
      <c r="C33" s="2" t="s">
        <v>65</v>
      </c>
      <c r="D33" s="2" t="n">
        <v>10</v>
      </c>
      <c r="E33" s="2" t="s">
        <v>19</v>
      </c>
    </row>
    <row r="34" customFormat="false" ht="15" hidden="false" customHeight="false" outlineLevel="0" collapsed="false">
      <c r="A34" s="2" t="s">
        <v>66</v>
      </c>
      <c r="B34" s="2" t="n">
        <v>6</v>
      </c>
      <c r="C34" s="2" t="s">
        <v>67</v>
      </c>
      <c r="D34" s="2" t="n">
        <v>7</v>
      </c>
      <c r="E34" s="2" t="s">
        <v>7</v>
      </c>
    </row>
    <row r="35" customFormat="false" ht="15" hidden="false" customHeight="false" outlineLevel="0" collapsed="false">
      <c r="A35" s="2" t="s">
        <v>68</v>
      </c>
      <c r="B35" s="2" t="n">
        <v>6</v>
      </c>
      <c r="C35" s="2" t="s">
        <v>69</v>
      </c>
      <c r="D35" s="2" t="n">
        <v>8</v>
      </c>
      <c r="E35" s="2" t="s">
        <v>7</v>
      </c>
    </row>
    <row r="36" customFormat="false" ht="15" hidden="false" customHeight="false" outlineLevel="0" collapsed="false">
      <c r="A36" s="2" t="s">
        <v>70</v>
      </c>
      <c r="B36" s="2" t="n">
        <v>6</v>
      </c>
      <c r="C36" s="2" t="s">
        <v>71</v>
      </c>
      <c r="D36" s="2" t="n">
        <v>10</v>
      </c>
      <c r="E36" s="2" t="s">
        <v>10</v>
      </c>
    </row>
    <row r="37" customFormat="false" ht="15" hidden="false" customHeight="false" outlineLevel="0" collapsed="false">
      <c r="A37" s="2" t="s">
        <v>72</v>
      </c>
      <c r="B37" s="2" t="n">
        <v>6</v>
      </c>
      <c r="C37" s="2" t="s">
        <v>73</v>
      </c>
      <c r="D37" s="2" t="n">
        <v>7</v>
      </c>
      <c r="E37" s="2" t="s">
        <v>19</v>
      </c>
    </row>
    <row r="38" customFormat="false" ht="15" hidden="false" customHeight="false" outlineLevel="0" collapsed="false">
      <c r="A38" s="2" t="s">
        <v>74</v>
      </c>
      <c r="B38" s="2" t="n">
        <v>6</v>
      </c>
      <c r="C38" s="2" t="s">
        <v>75</v>
      </c>
      <c r="D38" s="2" t="n">
        <v>10</v>
      </c>
      <c r="E38" s="2" t="s">
        <v>19</v>
      </c>
    </row>
    <row r="39" customFormat="false" ht="15" hidden="false" customHeight="false" outlineLevel="0" collapsed="false">
      <c r="A39" s="2" t="s">
        <v>76</v>
      </c>
      <c r="B39" s="2" t="n">
        <v>6</v>
      </c>
      <c r="C39" s="2" t="s">
        <v>77</v>
      </c>
      <c r="D39" s="2" t="n">
        <v>5</v>
      </c>
      <c r="E39" s="2" t="s">
        <v>19</v>
      </c>
    </row>
    <row r="40" customFormat="false" ht="15" hidden="false" customHeight="false" outlineLevel="0" collapsed="false">
      <c r="A40" s="2" t="s">
        <v>78</v>
      </c>
      <c r="B40" s="2" t="n">
        <v>7</v>
      </c>
      <c r="C40" s="2" t="s">
        <v>79</v>
      </c>
      <c r="D40" s="2" t="n">
        <v>5</v>
      </c>
      <c r="E40" s="2" t="s">
        <v>7</v>
      </c>
    </row>
    <row r="41" customFormat="false" ht="15" hidden="false" customHeight="false" outlineLevel="0" collapsed="false">
      <c r="A41" s="2" t="s">
        <v>80</v>
      </c>
      <c r="B41" s="2" t="n">
        <v>7</v>
      </c>
      <c r="C41" s="2" t="s">
        <v>81</v>
      </c>
      <c r="D41" s="2" t="n">
        <v>7</v>
      </c>
      <c r="E41" s="2" t="s">
        <v>19</v>
      </c>
    </row>
    <row r="42" customFormat="false" ht="15" hidden="false" customHeight="false" outlineLevel="0" collapsed="false">
      <c r="A42" s="2" t="s">
        <v>82</v>
      </c>
      <c r="B42" s="2" t="n">
        <v>7</v>
      </c>
      <c r="C42" s="2" t="s">
        <v>83</v>
      </c>
      <c r="D42" s="2" t="n">
        <v>5</v>
      </c>
      <c r="E42" s="2" t="s">
        <v>19</v>
      </c>
    </row>
    <row r="43" customFormat="false" ht="15" hidden="false" customHeight="false" outlineLevel="0" collapsed="false">
      <c r="A43" s="2" t="s">
        <v>84</v>
      </c>
      <c r="B43" s="2" t="n">
        <v>7</v>
      </c>
      <c r="C43" s="2" t="s">
        <v>85</v>
      </c>
      <c r="D43" s="2" t="n">
        <v>6</v>
      </c>
      <c r="E43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3" t="s">
        <v>86</v>
      </c>
      <c r="B1" s="4" t="n">
        <v>45</v>
      </c>
    </row>
    <row r="3" customFormat="false" ht="45" hidden="false" customHeight="true" outlineLevel="0" collapsed="false">
      <c r="A3" s="5" t="s">
        <v>1</v>
      </c>
      <c r="B3" s="5" t="s">
        <v>87</v>
      </c>
      <c r="C3" s="5" t="s">
        <v>19</v>
      </c>
      <c r="D3" s="5" t="s">
        <v>10</v>
      </c>
      <c r="E3" s="5" t="s">
        <v>7</v>
      </c>
      <c r="F3" s="5" t="s">
        <v>88</v>
      </c>
      <c r="G3" s="5" t="s">
        <v>89</v>
      </c>
      <c r="H3" s="5" t="s">
        <v>90</v>
      </c>
    </row>
    <row r="4" customFormat="false" ht="15" hidden="false" customHeight="false" outlineLevel="0" collapsed="false">
      <c r="A4" s="2" t="s">
        <v>91</v>
      </c>
      <c r="B4" s="2" t="s">
        <v>92</v>
      </c>
      <c r="C4" s="2" t="n">
        <f aca="false">SUMIFS('Карта потока'!$D$2:$D$43,'Карта потока'!$B$2:$B$43,1,'Карта потока'!$E$2:$E$43,"Добавляет ценность")</f>
        <v>10</v>
      </c>
      <c r="D4" s="2" t="n">
        <f aca="false">SUMIFS('Карта потока'!$D$2:$D$43,'Карта потока'!$B$2:$B$43,1,'Карта потока'!$E$2:$E$43,"Не добавляет ценность")</f>
        <v>33</v>
      </c>
      <c r="E4" s="2" t="n">
        <f aca="false">SUMIFS('Карта потока'!$D$2:$D$43,'Карта потока'!$B$2:$B$43,1,'Карта потока'!$E$2:$E$43,"Потери")</f>
        <v>5</v>
      </c>
      <c r="F4" s="2" t="n">
        <f aca="false">SUM(C4:E4)</f>
        <v>48</v>
      </c>
      <c r="G4" s="2" t="n">
        <f aca="false">$B$1</f>
        <v>45</v>
      </c>
      <c r="H4" s="2" t="n">
        <f aca="false">F4-G4</f>
        <v>3</v>
      </c>
    </row>
    <row r="5" customFormat="false" ht="15" hidden="false" customHeight="false" outlineLevel="0" collapsed="false">
      <c r="A5" s="2" t="s">
        <v>93</v>
      </c>
      <c r="B5" s="2" t="s">
        <v>94</v>
      </c>
      <c r="C5" s="2" t="n">
        <f aca="false">SUMIFS('Карта потока'!$D$2:$D$43,'Карта потока'!$B$2:$B$43,2,'Карта потока'!$E$2:$E$43,"Добавляет ценность")</f>
        <v>6</v>
      </c>
      <c r="D5" s="2" t="n">
        <f aca="false">SUMIFS('Карта потока'!$D$2:$D$43,'Карта потока'!$B$2:$B$43,2,'Карта потока'!$E$2:$E$43,"Не добавляет ценность")</f>
        <v>19</v>
      </c>
      <c r="E5" s="2" t="n">
        <f aca="false">SUMIFS('Карта потока'!$D$2:$D$43,'Карта потока'!$B$2:$B$43,2,'Карта потока'!$E$2:$E$43,"Потери")</f>
        <v>7</v>
      </c>
      <c r="F5" s="2" t="n">
        <f aca="false">SUM(C5:E5)</f>
        <v>32</v>
      </c>
      <c r="G5" s="2" t="n">
        <f aca="false">$B$1</f>
        <v>45</v>
      </c>
      <c r="H5" s="2" t="n">
        <f aca="false">F5-G5</f>
        <v>-13</v>
      </c>
    </row>
    <row r="6" customFormat="false" ht="15" hidden="false" customHeight="false" outlineLevel="0" collapsed="false">
      <c r="A6" s="2" t="s">
        <v>95</v>
      </c>
      <c r="B6" s="2" t="s">
        <v>96</v>
      </c>
      <c r="C6" s="2" t="n">
        <f aca="false">SUMIFS('Карта потока'!$D$2:$D$43,'Карта потока'!$B$2:$B$43,3,'Карта потока'!$E$2:$E$43,"Добавляет ценность")</f>
        <v>54</v>
      </c>
      <c r="D6" s="2" t="n">
        <f aca="false">SUMIFS('Карта потока'!$D$2:$D$43,'Карта потока'!$B$2:$B$43,3,'Карта потока'!$E$2:$E$43,"Не добавляет ценность")</f>
        <v>20</v>
      </c>
      <c r="E6" s="2" t="n">
        <f aca="false">SUMIFS('Карта потока'!$D$2:$D$43,'Карта потока'!$B$2:$B$43,3,'Карта потока'!$E$2:$E$43,"Потери")</f>
        <v>0</v>
      </c>
      <c r="F6" s="2" t="n">
        <f aca="false">SUM(C6:E6)</f>
        <v>74</v>
      </c>
      <c r="G6" s="2" t="n">
        <f aca="false">$B$1</f>
        <v>45</v>
      </c>
      <c r="H6" s="2" t="n">
        <f aca="false">F6-G6</f>
        <v>29</v>
      </c>
    </row>
    <row r="7" customFormat="false" ht="15" hidden="false" customHeight="false" outlineLevel="0" collapsed="false">
      <c r="A7" s="2" t="s">
        <v>97</v>
      </c>
      <c r="B7" s="2" t="s">
        <v>98</v>
      </c>
      <c r="C7" s="2" t="n">
        <f aca="false">SUMIFS('Карта потока'!$D$2:$D$43,'Карта потока'!$B$2:$B$43,4,'Карта потока'!$E$2:$E$43,"Добавляет ценность")</f>
        <v>23</v>
      </c>
      <c r="D7" s="2" t="n">
        <f aca="false">SUMIFS('Карта потока'!$D$2:$D$43,'Карта потока'!$B$2:$B$43,4,'Карта потока'!$E$2:$E$43,"Не добавляет ценность")</f>
        <v>21</v>
      </c>
      <c r="E7" s="2" t="n">
        <f aca="false">SUMIFS('Карта потока'!$D$2:$D$43,'Карта потока'!$B$2:$B$43,4,'Карта потока'!$E$2:$E$43,"Потери")</f>
        <v>0</v>
      </c>
      <c r="F7" s="2" t="n">
        <f aca="false">SUM(C7:E7)</f>
        <v>44</v>
      </c>
      <c r="G7" s="2" t="n">
        <f aca="false">$B$1</f>
        <v>45</v>
      </c>
      <c r="H7" s="2" t="n">
        <f aca="false">F7-G7</f>
        <v>-1</v>
      </c>
    </row>
    <row r="8" customFormat="false" ht="15" hidden="false" customHeight="false" outlineLevel="0" collapsed="false">
      <c r="A8" s="2" t="s">
        <v>99</v>
      </c>
      <c r="B8" s="2" t="s">
        <v>100</v>
      </c>
      <c r="C8" s="2" t="n">
        <f aca="false">SUMIFS('Карта потока'!$D$2:$D$43,'Карта потока'!$B$2:$B$43,5,'Карта потока'!$E$2:$E$43,"Добавляет ценность")</f>
        <v>41</v>
      </c>
      <c r="D8" s="2" t="n">
        <f aca="false">SUMIFS('Карта потока'!$D$2:$D$43,'Карта потока'!$B$2:$B$43,5,'Карта потока'!$E$2:$E$43,"Не добавляет ценность")</f>
        <v>0</v>
      </c>
      <c r="E8" s="2" t="n">
        <f aca="false">SUMIFS('Карта потока'!$D$2:$D$43,'Карта потока'!$B$2:$B$43,5,'Карта потока'!$E$2:$E$43,"Потери")</f>
        <v>10</v>
      </c>
      <c r="F8" s="2" t="n">
        <f aca="false">SUM(C8:E8)</f>
        <v>51</v>
      </c>
      <c r="G8" s="2" t="n">
        <f aca="false">$B$1</f>
        <v>45</v>
      </c>
      <c r="H8" s="2" t="n">
        <f aca="false">F8-G8</f>
        <v>6</v>
      </c>
    </row>
    <row r="9" customFormat="false" ht="15" hidden="false" customHeight="false" outlineLevel="0" collapsed="false">
      <c r="A9" s="2" t="s">
        <v>101</v>
      </c>
      <c r="B9" s="2" t="s">
        <v>102</v>
      </c>
      <c r="C9" s="2" t="n">
        <f aca="false">SUMIFS('Карта потока'!$D$2:$D$43,'Карта потока'!$B$2:$B$43,6,'Карта потока'!$E$2:$E$43,"Добавляет ценность")</f>
        <v>22</v>
      </c>
      <c r="D9" s="2" t="n">
        <f aca="false">SUMIFS('Карта потока'!$D$2:$D$43,'Карта потока'!$B$2:$B$43,6,'Карта потока'!$E$2:$E$43,"Не добавляет ценность")</f>
        <v>10</v>
      </c>
      <c r="E9" s="2" t="n">
        <f aca="false">SUMIFS('Карта потока'!$D$2:$D$43,'Карта потока'!$B$2:$B$43,6,'Карта потока'!$E$2:$E$43,"Потери")</f>
        <v>15</v>
      </c>
      <c r="F9" s="2" t="n">
        <f aca="false">SUM(C9:E9)</f>
        <v>47</v>
      </c>
      <c r="G9" s="2" t="n">
        <f aca="false">$B$1</f>
        <v>45</v>
      </c>
      <c r="H9" s="2" t="n">
        <f aca="false">F9-G9</f>
        <v>2</v>
      </c>
    </row>
    <row r="10" customFormat="false" ht="15" hidden="false" customHeight="false" outlineLevel="0" collapsed="false">
      <c r="A10" s="2" t="s">
        <v>103</v>
      </c>
      <c r="B10" s="2" t="s">
        <v>104</v>
      </c>
      <c r="C10" s="2" t="n">
        <f aca="false">SUMIFS('Карта потока'!$D$2:$D$43,'Карта потока'!$B$2:$B$43,7,'Карта потока'!$E$2:$E$43,"Добавляет ценность")</f>
        <v>18</v>
      </c>
      <c r="D10" s="2" t="n">
        <f aca="false">SUMIFS('Карта потока'!$D$2:$D$43,'Карта потока'!$B$2:$B$43,7,'Карта потока'!$E$2:$E$43,"Не добавляет ценность")</f>
        <v>0</v>
      </c>
      <c r="E10" s="2" t="n">
        <f aca="false">SUMIFS('Карта потока'!$D$2:$D$43,'Карта потока'!$B$2:$B$43,7,'Карта потока'!$E$2:$E$43,"Потери")</f>
        <v>5</v>
      </c>
      <c r="F10" s="2" t="n">
        <f aca="false">SUM(C10:E10)</f>
        <v>23</v>
      </c>
      <c r="G10" s="2" t="n">
        <f aca="false">$B$1</f>
        <v>45</v>
      </c>
      <c r="H10" s="2" t="n">
        <f aca="false">F10-G10</f>
        <v>-22</v>
      </c>
    </row>
    <row r="12" customFormat="false" ht="15" hidden="false" customHeight="false" outlineLevel="0" collapsed="false">
      <c r="A12" s="3" t="s">
        <v>105</v>
      </c>
    </row>
    <row r="13" customFormat="false" ht="15" hidden="false" customHeight="false" outlineLevel="0" collapsed="false">
      <c r="A13" s="6" t="s">
        <v>19</v>
      </c>
      <c r="C13" s="7" t="n">
        <f aca="false">C9/F9</f>
        <v>0.468085106382979</v>
      </c>
    </row>
    <row r="14" customFormat="false" ht="15" hidden="false" customHeight="false" outlineLevel="0" collapsed="false">
      <c r="A14" s="6" t="s">
        <v>10</v>
      </c>
      <c r="C14" s="7" t="n">
        <f aca="false">D9/F9</f>
        <v>0.212765957446809</v>
      </c>
    </row>
    <row r="15" customFormat="false" ht="15" hidden="false" customHeight="false" outlineLevel="0" collapsed="false">
      <c r="A15" s="6" t="s">
        <v>7</v>
      </c>
      <c r="C15" s="7" t="n">
        <f aca="false">E9/F9</f>
        <v>0.319148936170213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2026-10-12T07:05:50Z</dcterms:created>
  <dc:creator>Чикишев С.М.</dc:creator>
  <dc:description/>
  <dc:language>en-US</dc:language>
  <cp:lastModifiedBy>Чикишев С.М.</cp:lastModifiedBy>
  <dcterms:modified xsi:type="dcterms:W3CDTF">2026-10-12T12:05:53Z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