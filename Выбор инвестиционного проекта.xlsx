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шение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<sst xmlns="http://schemas.openxmlformats.org/spreadsheetml/2006/main" count="14" uniqueCount="14">
  <si>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Ставка дисконтирования</t>
  </si>
  <si>
    <t xml:space="preserve">Проект</t>
  </si>
  <si>
    <t xml:space="preserve">Первоначальные инвестиции, CF0</t>
  </si>
  <si>
    <t xml:space="preserve">Денежные потоки, CFt</t>
  </si>
  <si>
    <t xml:space="preserve">NPV</t>
  </si>
  <si>
    <t xml:space="preserve">IRR</t>
  </si>
  <si>
    <t xml:space="preserve">Проект 1</t>
  </si>
  <si>
    <t xml:space="preserve">Проект 2</t>
  </si>
  <si>
    <t xml:space="preserve">Проект 3</t>
  </si>
  <si>
    <t xml:space="preserve">Проект 4</t>
  </si>
  <si>
    <t xml:space="preserve">Лучший проект по NPV</t>
  </si>
  <si>
    <t xml:space="preserve">Лучший проект по IRR</t>
  </si>
  <si>
    <t xml:space="preserve">Вывод: по NPV лучший – Проект 2, по IRR – Проект 3. Критерии противоречат; для взаимоисключающих проектов решающим является NPV, поэтому выбираем Проект 2.</t>
  </si>
  <si>
    <t xml:space="preserve">NPV = ЧПС(ставка; CF1:CF5) + CF0;  IRR = ВСД(CF0:CF5). Исходные данные – таблица 4.4 задания (синим).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</si>
</sst>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"/>
    <numFmt numFmtId="167" formatCode="#,##0.00"/>
    <numFmt numFmtId="168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Times New Roman"/>
      <family val="0"/>
      <charset val="1"/>
    </font>
    <font>
      <b val="true"/>
      <sz val="11"/>
      <color rgb="FF0000FF"/>
      <name val="Times New Roman"/>
      <family val="0"/>
      <charset val="1"/>
    </font>
    <font>
      <sz val="11"/>
      <color rgb="FF0000FF"/>
      <name val="Times New Roman"/>
      <family val="0"/>
      <charset val="1"/>
    </font>
    <font>
      <i val="true"/>
      <sz val="1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7" min="6" style="0" width="9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" t="s">
        <v>0</v>
      </c>
      <c r="B1" s="1"/>
      <c r="C1" s="2" t="n">
        <v>0.12</v>
      </c>
    </row>
    <row r="3" customFormat="false" ht="31.5" hidden="false" customHeight="true" outlineLevel="0" collapsed="false">
      <c r="A3" s="3" t="s">
        <v>1</v>
      </c>
      <c r="B3" s="3" t="s">
        <v>2</v>
      </c>
      <c r="C3" s="3" t="s">
        <v>3</v>
      </c>
      <c r="D3" s="3"/>
      <c r="E3" s="3"/>
      <c r="F3" s="3"/>
      <c r="G3" s="3"/>
      <c r="H3" s="3" t="s">
        <v>4</v>
      </c>
      <c r="I3" s="3" t="s">
        <v>5</v>
      </c>
    </row>
    <row r="4" customFormat="false" ht="15" hidden="false" customHeight="false" outlineLevel="0" collapsed="false">
      <c r="A4" s="3"/>
      <c r="B4" s="3" t="n">
        <v>0</v>
      </c>
      <c r="C4" s="3" t="n">
        <v>1</v>
      </c>
      <c r="D4" s="3" t="n">
        <v>2</v>
      </c>
      <c r="E4" s="3" t="n">
        <v>3</v>
      </c>
      <c r="F4" s="3" t="n">
        <v>4</v>
      </c>
      <c r="G4" s="3" t="n">
        <v>5</v>
      </c>
      <c r="H4" s="3"/>
      <c r="I4" s="3"/>
    </row>
    <row r="5" customFormat="false" ht="15" hidden="false" customHeight="false" outlineLevel="0" collapsed="false">
      <c r="A5" s="4" t="s">
        <v>6</v>
      </c>
      <c r="B5" s="5" t="n">
        <v>-1200</v>
      </c>
      <c r="C5" s="5" t="n">
        <v>0</v>
      </c>
      <c r="D5" s="5" t="n">
        <v>100</v>
      </c>
      <c r="E5" s="5" t="n">
        <v>250</v>
      </c>
      <c r="F5" s="5" t="n">
        <v>1200</v>
      </c>
      <c r="G5" s="5" t="n">
        <v>1300</v>
      </c>
      <c r="H5" s="6" t="n">
        <f aca="false">NPV($C$1,C5:G5)+B5</f>
        <v>557.941056228431</v>
      </c>
      <c r="I5" s="7" t="n">
        <f aca="false">IRR(B5:G5)</f>
        <v>0.226659487976977</v>
      </c>
    </row>
    <row r="6" customFormat="false" ht="15" hidden="false" customHeight="false" outlineLevel="0" collapsed="false">
      <c r="A6" s="4" t="s">
        <v>7</v>
      </c>
      <c r="B6" s="5" t="n">
        <v>-1200</v>
      </c>
      <c r="C6" s="5" t="n">
        <v>100</v>
      </c>
      <c r="D6" s="5" t="n">
        <v>300</v>
      </c>
      <c r="E6" s="5" t="n">
        <v>500</v>
      </c>
      <c r="F6" s="5" t="n">
        <v>600</v>
      </c>
      <c r="G6" s="5" t="n">
        <v>1300</v>
      </c>
      <c r="H6" s="6" t="n">
        <f aca="false">NPV($C$1,C6:G6)+B6</f>
        <v>603.299760934803</v>
      </c>
      <c r="I6" s="7" t="n">
        <f aca="false">IRR(B6:G6)</f>
        <v>0.24992636247389</v>
      </c>
    </row>
    <row r="7" customFormat="false" ht="15" hidden="false" customHeight="false" outlineLevel="0" collapsed="false">
      <c r="A7" s="4" t="s">
        <v>8</v>
      </c>
      <c r="B7" s="5" t="n">
        <v>-1200</v>
      </c>
      <c r="C7" s="5" t="n">
        <v>300</v>
      </c>
      <c r="D7" s="5" t="n">
        <v>450</v>
      </c>
      <c r="E7" s="5" t="n">
        <v>500</v>
      </c>
      <c r="F7" s="5" t="n">
        <v>600</v>
      </c>
      <c r="G7" s="5" t="n">
        <v>700</v>
      </c>
      <c r="H7" s="6" t="n">
        <f aca="false">NPV($C$1,C7:G7)+B7</f>
        <v>560.994157707725</v>
      </c>
      <c r="I7" s="7" t="n">
        <f aca="false">IRR(B7:G7)</f>
        <v>0.270663871904058</v>
      </c>
    </row>
    <row r="8" customFormat="false" ht="15" hidden="false" customHeight="false" outlineLevel="0" collapsed="false">
      <c r="A8" s="4" t="s">
        <v>9</v>
      </c>
      <c r="B8" s="5" t="n">
        <v>-1200</v>
      </c>
      <c r="C8" s="5" t="n">
        <v>300</v>
      </c>
      <c r="D8" s="5" t="n">
        <v>900</v>
      </c>
      <c r="E8" s="5" t="n">
        <v>500</v>
      </c>
      <c r="F8" s="5" t="n">
        <v>250</v>
      </c>
      <c r="G8" s="5" t="n">
        <v>100</v>
      </c>
      <c r="H8" s="6" t="n">
        <f aca="false">NPV($C$1,C8:G8)+B8</f>
        <v>356.843961732834</v>
      </c>
      <c r="I8" s="7" t="n">
        <f aca="false">IRR(B8:G8)</f>
        <v>0.253293789728889</v>
      </c>
    </row>
    <row r="10" customFormat="false" ht="15" hidden="false" customHeight="false" outlineLevel="0" collapsed="false">
      <c r="A10" s="1" t="s">
        <v>10</v>
      </c>
      <c r="B10" s="1"/>
      <c r="C10" s="1"/>
      <c r="D10" s="8" t="str">
        <f aca="false">INDEX(A5:A8,MATCH(MAX(H5:H8),H5:H8,0))</f>
        <v>Проект 2</v>
      </c>
      <c r="E10" s="9" t="n">
        <f aca="false">MAX(H5:H8)</f>
        <v>603.299760934803</v>
      </c>
    </row>
    <row r="11" customFormat="false" ht="15" hidden="false" customHeight="false" outlineLevel="0" collapsed="false">
      <c r="A11" s="1" t="s">
        <v>11</v>
      </c>
      <c r="B11" s="1"/>
      <c r="C11" s="1"/>
      <c r="D11" s="8" t="str">
        <f aca="false">INDEX(A5:A8,MATCH(MAX(I5:I8),I5:I8,0))</f>
        <v>Проект 3</v>
      </c>
      <c r="E11" s="10" t="n">
        <f aca="false">MAX(I5:I8)</f>
        <v>0.270663871904058</v>
      </c>
    </row>
    <row r="12" customFormat="false" ht="15" hidden="false" customHeight="false" outlineLevel="0" collapsed="false">
      <c r="A12" s="8" t="s">
        <v>12</v>
      </c>
    </row>
    <row r="13" customFormat="false" ht="15" hidden="false" customHeight="false" outlineLevel="0" collapsed="false">
      <c r="A13" s="11" t="s">
        <v>13</v>
      </c>
    </row>
  </sheetData>
  <mergeCells count="7">
    <mergeCell ref="A1:B1"/>
    <mergeCell ref="A3:A4"/>
    <mergeCell ref="C3:G3"/>
    <mergeCell ref="H3:H4"/>
    <mergeCell ref="I3:I4"/>
    <mergeCell ref="A10:C10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2026-10-12T07:04:52Z</dcterms:created>
  <dc:creator>Чикишев С.М.</dc:creator>
  <dc:description/>
  <dc:language>en-US</dc:language>
  <cp:lastModifiedBy>Чикишев С.М.</cp:lastModifiedBy>
  <dcterms:modified xsi:type="dcterms:W3CDTF">2026-10-12T07:04:52Z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